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sc\Nextcloud\Programs\SII\Mandarin\"/>
    </mc:Choice>
  </mc:AlternateContent>
  <xr:revisionPtr revIDLastSave="0" documentId="13_ncr:1_{8FA82CA1-4CA9-47CF-A729-C990BDF25C3A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chen_2016" sheetId="1" r:id="rId1"/>
    <sheet name="ANSI" sheetId="2" r:id="rId2"/>
    <sheet name="Du 2019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9" i="2" l="1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</calcChain>
</file>

<file path=xl/sharedStrings.xml><?xml version="1.0" encoding="utf-8"?>
<sst xmlns="http://schemas.openxmlformats.org/spreadsheetml/2006/main" count="44" uniqueCount="44">
  <si>
    <t>cent freq</t>
  </si>
  <si>
    <t>weight male</t>
  </si>
  <si>
    <t>weight female</t>
  </si>
  <si>
    <t>average</t>
  </si>
  <si>
    <t>0–180</t>
  </si>
  <si>
    <t>180–224</t>
  </si>
  <si>
    <t>224–280</t>
  </si>
  <si>
    <t>280–355</t>
  </si>
  <si>
    <t>355–450</t>
  </si>
  <si>
    <t>450–560</t>
  </si>
  <si>
    <t>560–710</t>
  </si>
  <si>
    <t>710–900</t>
  </si>
  <si>
    <t>900–1120</t>
  </si>
  <si>
    <t>1120–1400</t>
  </si>
  <si>
    <t>1400–1800</t>
  </si>
  <si>
    <t>1800–2240</t>
  </si>
  <si>
    <t>2240–2800</t>
  </si>
  <si>
    <t>2800–3550</t>
  </si>
  <si>
    <t>3550–4500</t>
  </si>
  <si>
    <t>4500–5600</t>
  </si>
  <si>
    <t>5600–7100</t>
  </si>
  <si>
    <t>7100–9000</t>
  </si>
  <si>
    <t>low freq</t>
  </si>
  <si>
    <t>high freq</t>
  </si>
  <si>
    <t>center freq</t>
  </si>
  <si>
    <t>ref internal noise spectrum level</t>
  </si>
  <si>
    <t>ref speech level</t>
  </si>
  <si>
    <t>standard table 3</t>
  </si>
  <si>
    <t>nonsense syllable tests where most of English phonemes occur</t>
  </si>
  <si>
    <t>CID22</t>
  </si>
  <si>
    <t>NU6</t>
  </si>
  <si>
    <t>Diag Rhyme test</t>
  </si>
  <si>
    <t>short passages</t>
  </si>
  <si>
    <t>SPIN</t>
  </si>
  <si>
    <t>Pavlovic 87</t>
  </si>
  <si>
    <t>chen_2016_chinese_male</t>
  </si>
  <si>
    <t>chen_2016_chinese_female</t>
  </si>
  <si>
    <t>chen_2016_chinese_average</t>
  </si>
  <si>
    <t>constant</t>
  </si>
  <si>
    <t>disyllabic words</t>
  </si>
  <si>
    <t>nonsense sentences</t>
  </si>
  <si>
    <t>meaningful sentences</t>
  </si>
  <si>
    <t>extreme</t>
  </si>
  <si>
    <t>bad_refcond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</si>
</sst>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"/>
  </numFmts>
  <fonts count="2">
    <font>
      <sz val="11"/>
      <color rgb="FF000000"/>
      <name val="Calibri"/>
      <family val="2"/>
      <charset val="1"/>
    </font>
    <font>
      <sz val="8"/>
      <color rgb="FF242021"/>
      <name val="AdvP6975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0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zoomScaleNormal="100" workbookViewId="0"/>
  </sheetViews>
  <sheetFormatPr defaultColWidth="9.109375" defaultRowHeight="14.4"/>
  <cols>
    <col min="1" max="1" width="10.44140625" customWidth="1"/>
    <col min="2" max="2" width="12.88671875" customWidth="1"/>
    <col min="3" max="3" width="13.21875" customWidth="1"/>
    <col min="4" max="4" width="12.77734375" customWidth="1"/>
    <col min="5" max="64" width="7" customWidth="1"/>
  </cols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160</v>
      </c>
      <c r="C2">
        <v>2.81</v>
      </c>
      <c r="D2">
        <v>8.1</v>
      </c>
      <c r="E2">
        <v>5.46</v>
      </c>
    </row>
    <row r="3" spans="1:5">
      <c r="A3" t="s">
        <v>5</v>
      </c>
      <c r="B3">
        <v>200</v>
      </c>
      <c r="C3">
        <v>3.53</v>
      </c>
      <c r="D3">
        <v>1.85</v>
      </c>
      <c r="E3">
        <v>2.69</v>
      </c>
    </row>
    <row r="4" spans="1:5">
      <c r="A4" t="s">
        <v>6</v>
      </c>
      <c r="B4">
        <v>250</v>
      </c>
      <c r="C4">
        <v>3.58</v>
      </c>
      <c r="D4">
        <v>2.88</v>
      </c>
      <c r="E4">
        <v>3.23</v>
      </c>
    </row>
    <row r="5" spans="1:5">
      <c r="A5" t="s">
        <v>7</v>
      </c>
      <c r="B5">
        <v>315</v>
      </c>
      <c r="C5">
        <v>2.59</v>
      </c>
      <c r="D5">
        <v>4.66</v>
      </c>
      <c r="E5">
        <v>3.62</v>
      </c>
    </row>
    <row r="6" spans="1:5">
      <c r="A6" t="s">
        <v>8</v>
      </c>
      <c r="B6">
        <v>400</v>
      </c>
      <c r="C6">
        <v>7.89</v>
      </c>
      <c r="D6">
        <v>3.02</v>
      </c>
      <c r="E6">
        <v>5.46</v>
      </c>
    </row>
    <row r="7" spans="1:5">
      <c r="A7" t="s">
        <v>9</v>
      </c>
      <c r="B7">
        <v>500</v>
      </c>
      <c r="C7">
        <v>4.32</v>
      </c>
      <c r="D7">
        <v>5.14</v>
      </c>
      <c r="E7">
        <v>4.7300000000000004</v>
      </c>
    </row>
    <row r="8" spans="1:5">
      <c r="A8" t="s">
        <v>10</v>
      </c>
      <c r="B8">
        <v>630</v>
      </c>
      <c r="C8">
        <v>5.27</v>
      </c>
      <c r="D8">
        <v>6.9</v>
      </c>
      <c r="E8">
        <v>6.08</v>
      </c>
    </row>
    <row r="9" spans="1:5">
      <c r="A9" t="s">
        <v>11</v>
      </c>
      <c r="B9">
        <v>800</v>
      </c>
      <c r="C9">
        <v>6.2</v>
      </c>
      <c r="D9">
        <v>6.33</v>
      </c>
      <c r="E9">
        <v>6.26</v>
      </c>
    </row>
    <row r="10" spans="1:5">
      <c r="A10" t="s">
        <v>12</v>
      </c>
      <c r="B10">
        <v>1000</v>
      </c>
      <c r="C10">
        <v>7.69</v>
      </c>
      <c r="D10">
        <v>7.52</v>
      </c>
      <c r="E10">
        <v>7.61</v>
      </c>
    </row>
    <row r="11" spans="1:5">
      <c r="A11" t="s">
        <v>13</v>
      </c>
      <c r="B11">
        <v>1250</v>
      </c>
      <c r="C11">
        <v>7.62</v>
      </c>
      <c r="D11">
        <v>7.3</v>
      </c>
      <c r="E11">
        <v>7.46</v>
      </c>
    </row>
    <row r="12" spans="1:5">
      <c r="A12" t="s">
        <v>14</v>
      </c>
      <c r="B12">
        <v>1600</v>
      </c>
      <c r="C12">
        <v>11.93</v>
      </c>
      <c r="D12">
        <v>9.82</v>
      </c>
      <c r="E12">
        <v>10.87</v>
      </c>
    </row>
    <row r="13" spans="1:5">
      <c r="A13" t="s">
        <v>15</v>
      </c>
      <c r="B13">
        <v>2000</v>
      </c>
      <c r="C13">
        <v>9.17</v>
      </c>
      <c r="D13">
        <v>13.08</v>
      </c>
      <c r="E13">
        <v>11.13</v>
      </c>
    </row>
    <row r="14" spans="1:5">
      <c r="A14" t="s">
        <v>16</v>
      </c>
      <c r="B14">
        <v>2500</v>
      </c>
      <c r="C14">
        <v>9.98</v>
      </c>
      <c r="D14">
        <v>4.7699999999999996</v>
      </c>
      <c r="E14">
        <v>7.38</v>
      </c>
    </row>
    <row r="15" spans="1:5">
      <c r="A15" t="s">
        <v>17</v>
      </c>
      <c r="B15">
        <v>3150</v>
      </c>
      <c r="C15">
        <v>5.29</v>
      </c>
      <c r="D15">
        <v>7.18</v>
      </c>
      <c r="E15">
        <v>6.24</v>
      </c>
    </row>
    <row r="16" spans="1:5">
      <c r="A16" t="s">
        <v>18</v>
      </c>
      <c r="B16">
        <v>4000</v>
      </c>
      <c r="C16">
        <v>3.54</v>
      </c>
      <c r="D16">
        <v>2.5299999999999998</v>
      </c>
      <c r="E16">
        <v>3.03</v>
      </c>
    </row>
    <row r="17" spans="1:5">
      <c r="A17" t="s">
        <v>19</v>
      </c>
      <c r="B17">
        <v>5000</v>
      </c>
      <c r="C17">
        <v>4.13</v>
      </c>
      <c r="D17">
        <v>2.88</v>
      </c>
      <c r="E17">
        <v>3.51</v>
      </c>
    </row>
    <row r="18" spans="1:5">
      <c r="A18" t="s">
        <v>20</v>
      </c>
      <c r="B18">
        <v>6300</v>
      </c>
      <c r="C18">
        <v>2.2200000000000002</v>
      </c>
      <c r="D18">
        <v>2.14</v>
      </c>
      <c r="E18">
        <v>2.1800000000000002</v>
      </c>
    </row>
    <row r="19" spans="1:5">
      <c r="A19" t="s">
        <v>21</v>
      </c>
      <c r="B19">
        <v>8000</v>
      </c>
      <c r="C19">
        <v>2.23</v>
      </c>
      <c r="D19">
        <v>3.9</v>
      </c>
      <c r="E19">
        <v>3.06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>
    <oddHeader>&amp;C&amp;"Arial,Regular"&amp;10&amp;A</oddHeader>
    <oddFooter>&amp;C&amp;"Arial,Regular"&amp;10Page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8"/>
  <sheetViews>
    <sheetView tabSelected="1" topLeftCell="K1" zoomScaleNormal="100" workbookViewId="0">
      <selection activeCell="S1" sqref="S1"/>
    </sheetView>
  </sheetViews>
  <sheetFormatPr defaultColWidth="9.109375" defaultRowHeight="14.4"/>
  <cols>
    <col min="1" max="3" width="8.44140625" customWidth="1"/>
    <col min="4" max="4" width="34.109375" customWidth="1"/>
    <col min="5" max="5" width="17.88671875" customWidth="1"/>
    <col min="6" max="6" width="12.6640625" customWidth="1"/>
    <col min="7" max="9" width="8.44140625" customWidth="1"/>
    <col min="10" max="10" width="11.44140625" customWidth="1"/>
    <col min="11" max="11" width="12.6640625" customWidth="1"/>
    <col min="12" max="13" width="8.44140625" customWidth="1"/>
    <col min="14" max="14" width="21" customWidth="1"/>
    <col min="15" max="15" width="18.21875" customWidth="1"/>
    <col min="16" max="16" width="10.88671875" customWidth="1"/>
    <col min="17" max="18" width="8.44140625" customWidth="1"/>
    <col min="19" max="19" width="9.77734375" customWidth="1"/>
    <col min="20" max="62" width="8.44140625" customWidth="1"/>
  </cols>
  <sheetData>
    <row r="1" spans="1:19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42</v>
      </c>
      <c r="S1" s="3" t="s">
        <v>43</v>
      </c>
    </row>
    <row r="2" spans="1:19">
      <c r="A2">
        <v>143</v>
      </c>
      <c r="B2">
        <v>179</v>
      </c>
      <c r="C2">
        <v>160</v>
      </c>
      <c r="D2">
        <v>0.6</v>
      </c>
      <c r="E2">
        <v>32.409999999999997</v>
      </c>
      <c r="F2">
        <v>8.0000000000000004E-4</v>
      </c>
      <c r="G2">
        <v>0</v>
      </c>
      <c r="H2">
        <v>3.6499999999999998E-2</v>
      </c>
      <c r="I2">
        <v>1.6799999999999999E-2</v>
      </c>
      <c r="J2">
        <v>0</v>
      </c>
      <c r="K2">
        <v>1.14E-2</v>
      </c>
      <c r="L2">
        <v>0</v>
      </c>
      <c r="M2">
        <v>1.14E-2</v>
      </c>
      <c r="N2">
        <v>2.8102810281028099E-2</v>
      </c>
      <c r="O2">
        <v>8.1000000000000003E-2</v>
      </c>
      <c r="P2">
        <v>5.4600000000000003E-2</v>
      </c>
      <c r="Q2">
        <f t="shared" ref="Q2:Q19" si="0">1/18</f>
        <v>5.5555555555555552E-2</v>
      </c>
      <c r="R2">
        <v>0</v>
      </c>
      <c r="S2" s="3">
        <v>1.4777531610677099E-2</v>
      </c>
    </row>
    <row r="3" spans="1:19">
      <c r="A3">
        <v>179</v>
      </c>
      <c r="B3">
        <v>224</v>
      </c>
      <c r="C3">
        <v>200</v>
      </c>
      <c r="D3">
        <v>-1.7</v>
      </c>
      <c r="E3">
        <v>34.479999999999997</v>
      </c>
      <c r="F3">
        <v>9.4999999999999998E-3</v>
      </c>
      <c r="G3">
        <v>0</v>
      </c>
      <c r="H3">
        <v>2.7900000000000001E-2</v>
      </c>
      <c r="I3">
        <v>1.2999999999999999E-2</v>
      </c>
      <c r="J3">
        <v>2.4E-2</v>
      </c>
      <c r="K3">
        <v>1.5299999999999999E-2</v>
      </c>
      <c r="L3">
        <v>2.5499999999999998E-2</v>
      </c>
      <c r="M3">
        <v>1.5299999999999999E-2</v>
      </c>
      <c r="N3">
        <v>3.5303530353035302E-2</v>
      </c>
      <c r="O3">
        <v>1.8499999999999999E-2</v>
      </c>
      <c r="P3">
        <v>2.69E-2</v>
      </c>
      <c r="Q3">
        <f t="shared" si="0"/>
        <v>5.5555555555555552E-2</v>
      </c>
      <c r="R3">
        <v>0</v>
      </c>
      <c r="S3" s="3">
        <v>6.3570145235786704E-2</v>
      </c>
    </row>
    <row r="4" spans="1:19">
      <c r="A4">
        <v>224</v>
      </c>
      <c r="B4">
        <v>281</v>
      </c>
      <c r="C4">
        <v>250</v>
      </c>
      <c r="D4">
        <v>-3.9</v>
      </c>
      <c r="E4">
        <v>34.75</v>
      </c>
      <c r="F4">
        <v>1.4999999999999999E-2</v>
      </c>
      <c r="G4">
        <v>1.5299999999999999E-2</v>
      </c>
      <c r="H4">
        <v>4.0500000000000001E-2</v>
      </c>
      <c r="I4">
        <v>2.1100000000000001E-2</v>
      </c>
      <c r="J4">
        <v>3.3000000000000002E-2</v>
      </c>
      <c r="K4">
        <v>1.7899999999999999E-2</v>
      </c>
      <c r="L4">
        <v>2.5600000000000001E-2</v>
      </c>
      <c r="M4">
        <v>1.7899999999999999E-2</v>
      </c>
      <c r="N4">
        <v>3.5803580358035797E-2</v>
      </c>
      <c r="O4">
        <v>2.8799999999999999E-2</v>
      </c>
      <c r="P4">
        <v>3.2300000000000002E-2</v>
      </c>
      <c r="Q4">
        <f t="shared" si="0"/>
        <v>5.5555555555555552E-2</v>
      </c>
      <c r="R4">
        <v>0</v>
      </c>
      <c r="S4" s="3">
        <v>0</v>
      </c>
    </row>
    <row r="5" spans="1:19">
      <c r="A5">
        <v>281</v>
      </c>
      <c r="B5">
        <v>355</v>
      </c>
      <c r="C5">
        <v>315</v>
      </c>
      <c r="D5">
        <v>-6.1</v>
      </c>
      <c r="E5">
        <v>33.979999999999997</v>
      </c>
      <c r="F5">
        <v>2.8899999999999999E-2</v>
      </c>
      <c r="G5">
        <v>2.8400000000000002E-2</v>
      </c>
      <c r="H5">
        <v>0.05</v>
      </c>
      <c r="I5">
        <v>3.44E-2</v>
      </c>
      <c r="J5">
        <v>3.9E-2</v>
      </c>
      <c r="K5">
        <v>5.5800000000000002E-2</v>
      </c>
      <c r="L5">
        <v>3.5999999999999997E-2</v>
      </c>
      <c r="M5">
        <v>5.5800000000000002E-2</v>
      </c>
      <c r="N5">
        <v>2.5902590259025901E-2</v>
      </c>
      <c r="O5">
        <v>4.6600000000000003E-2</v>
      </c>
      <c r="P5">
        <v>3.6200000000000003E-2</v>
      </c>
      <c r="Q5">
        <f t="shared" si="0"/>
        <v>5.5555555555555552E-2</v>
      </c>
      <c r="R5">
        <v>0</v>
      </c>
      <c r="S5" s="3">
        <v>2.2717020817796502E-2</v>
      </c>
    </row>
    <row r="6" spans="1:19">
      <c r="A6">
        <v>355</v>
      </c>
      <c r="B6">
        <v>447</v>
      </c>
      <c r="C6">
        <v>400</v>
      </c>
      <c r="D6">
        <v>-8.1999999999999993</v>
      </c>
      <c r="E6">
        <v>34.590000000000003</v>
      </c>
      <c r="F6">
        <v>4.3999999999999997E-2</v>
      </c>
      <c r="G6">
        <v>3.6299999999999999E-2</v>
      </c>
      <c r="H6">
        <v>5.2999999999999999E-2</v>
      </c>
      <c r="I6">
        <v>5.1700000000000003E-2</v>
      </c>
      <c r="J6">
        <v>5.7099999999999998E-2</v>
      </c>
      <c r="K6">
        <v>8.9800000000000005E-2</v>
      </c>
      <c r="L6">
        <v>3.6200000000000003E-2</v>
      </c>
      <c r="M6">
        <v>8.9800000000000005E-2</v>
      </c>
      <c r="N6">
        <v>7.8907890789078894E-2</v>
      </c>
      <c r="O6">
        <v>3.0200000000000001E-2</v>
      </c>
      <c r="P6">
        <v>5.4600000000000003E-2</v>
      </c>
      <c r="Q6">
        <f t="shared" si="0"/>
        <v>5.5555555555555552E-2</v>
      </c>
      <c r="R6">
        <v>0</v>
      </c>
      <c r="S6" s="3">
        <v>9.3432057756288198E-2</v>
      </c>
    </row>
    <row r="7" spans="1:19">
      <c r="A7">
        <v>447</v>
      </c>
      <c r="B7">
        <v>561</v>
      </c>
      <c r="C7">
        <v>500</v>
      </c>
      <c r="D7">
        <v>-9.6999999999999993</v>
      </c>
      <c r="E7">
        <v>34.270000000000003</v>
      </c>
      <c r="F7">
        <v>5.7799999999999997E-2</v>
      </c>
      <c r="G7">
        <v>4.2200000000000001E-2</v>
      </c>
      <c r="H7">
        <v>5.1799999999999999E-2</v>
      </c>
      <c r="I7">
        <v>7.3700000000000002E-2</v>
      </c>
      <c r="J7">
        <v>6.9099999999999995E-2</v>
      </c>
      <c r="K7">
        <v>9.4399999999999998E-2</v>
      </c>
      <c r="L7">
        <v>5.1400000000000001E-2</v>
      </c>
      <c r="M7">
        <v>9.4399999999999998E-2</v>
      </c>
      <c r="N7">
        <v>4.3204320432043197E-2</v>
      </c>
      <c r="O7">
        <v>5.1400000000000001E-2</v>
      </c>
      <c r="P7">
        <v>4.7300000000000002E-2</v>
      </c>
      <c r="Q7">
        <f t="shared" si="0"/>
        <v>5.5555555555555552E-2</v>
      </c>
      <c r="R7">
        <v>0</v>
      </c>
      <c r="S7" s="3">
        <v>0.12085278024542701</v>
      </c>
    </row>
    <row r="8" spans="1:19">
      <c r="A8">
        <v>561</v>
      </c>
      <c r="B8">
        <v>710</v>
      </c>
      <c r="C8">
        <v>630</v>
      </c>
      <c r="D8">
        <v>-10.8</v>
      </c>
      <c r="E8">
        <v>32.06</v>
      </c>
      <c r="F8">
        <v>6.5299999999999997E-2</v>
      </c>
      <c r="G8">
        <v>5.0599999999999999E-2</v>
      </c>
      <c r="H8">
        <v>5.1400000000000001E-2</v>
      </c>
      <c r="I8">
        <v>6.5799999999999997E-2</v>
      </c>
      <c r="J8">
        <v>7.8100000000000003E-2</v>
      </c>
      <c r="K8">
        <v>7.0900000000000005E-2</v>
      </c>
      <c r="L8">
        <v>6.1600000000000002E-2</v>
      </c>
      <c r="M8">
        <v>7.0900000000000005E-2</v>
      </c>
      <c r="N8">
        <v>5.2705270527052699E-2</v>
      </c>
      <c r="O8">
        <v>6.9000000000000006E-2</v>
      </c>
      <c r="P8">
        <v>6.08E-2</v>
      </c>
      <c r="Q8">
        <f t="shared" si="0"/>
        <v>5.5555555555555552E-2</v>
      </c>
      <c r="R8">
        <v>0</v>
      </c>
      <c r="S8" s="3">
        <v>8.9334724652871497E-2</v>
      </c>
    </row>
    <row r="9" spans="1:19">
      <c r="A9">
        <v>710</v>
      </c>
      <c r="B9">
        <v>894</v>
      </c>
      <c r="C9">
        <v>800</v>
      </c>
      <c r="D9">
        <v>-11.9</v>
      </c>
      <c r="E9">
        <v>28.3</v>
      </c>
      <c r="F9">
        <v>7.1099999999999997E-2</v>
      </c>
      <c r="G9">
        <v>5.8400000000000001E-2</v>
      </c>
      <c r="H9">
        <v>5.7500000000000002E-2</v>
      </c>
      <c r="I9">
        <v>6.4399999999999999E-2</v>
      </c>
      <c r="J9">
        <v>7.51E-2</v>
      </c>
      <c r="K9">
        <v>6.6000000000000003E-2</v>
      </c>
      <c r="L9">
        <v>7.6999999999999999E-2</v>
      </c>
      <c r="M9">
        <v>6.6000000000000003E-2</v>
      </c>
      <c r="N9">
        <v>6.2006200620061999E-2</v>
      </c>
      <c r="O9">
        <v>6.3299999999999995E-2</v>
      </c>
      <c r="P9">
        <v>6.2600000000000003E-2</v>
      </c>
      <c r="Q9">
        <f t="shared" si="0"/>
        <v>5.5555555555555552E-2</v>
      </c>
      <c r="R9">
        <v>0</v>
      </c>
      <c r="S9" s="3">
        <v>0.14798645842643299</v>
      </c>
    </row>
    <row r="10" spans="1:19">
      <c r="A10">
        <v>894</v>
      </c>
      <c r="B10">
        <v>1118</v>
      </c>
      <c r="C10">
        <v>1000</v>
      </c>
      <c r="D10">
        <v>-12.5</v>
      </c>
      <c r="E10">
        <v>25.01</v>
      </c>
      <c r="F10">
        <v>8.1799999999999998E-2</v>
      </c>
      <c r="G10">
        <v>6.6699999999999995E-2</v>
      </c>
      <c r="H10">
        <v>7.17E-2</v>
      </c>
      <c r="I10">
        <v>6.6400000000000001E-2</v>
      </c>
      <c r="J10">
        <v>7.8100000000000003E-2</v>
      </c>
      <c r="K10">
        <v>6.2799999999999995E-2</v>
      </c>
      <c r="L10">
        <v>7.1800000000000003E-2</v>
      </c>
      <c r="M10">
        <v>6.2799999999999995E-2</v>
      </c>
      <c r="N10">
        <v>7.69076907690769E-2</v>
      </c>
      <c r="O10">
        <v>7.5200000000000003E-2</v>
      </c>
      <c r="P10">
        <v>7.6100000000000001E-2</v>
      </c>
      <c r="Q10">
        <f t="shared" si="0"/>
        <v>5.5555555555555552E-2</v>
      </c>
      <c r="R10">
        <v>0</v>
      </c>
      <c r="S10" s="3">
        <v>6.9315248089984502E-2</v>
      </c>
    </row>
    <row r="11" spans="1:19">
      <c r="A11">
        <v>1118</v>
      </c>
      <c r="B11">
        <v>1414</v>
      </c>
      <c r="C11">
        <v>1250</v>
      </c>
      <c r="D11">
        <v>-13.5</v>
      </c>
      <c r="E11">
        <v>23</v>
      </c>
      <c r="F11">
        <v>8.4400000000000003E-2</v>
      </c>
      <c r="G11">
        <v>7.7399999999999997E-2</v>
      </c>
      <c r="H11">
        <v>8.7300000000000003E-2</v>
      </c>
      <c r="I11">
        <v>8.0199999999999994E-2</v>
      </c>
      <c r="J11">
        <v>8.1100000000000005E-2</v>
      </c>
      <c r="K11">
        <v>6.7199999999999996E-2</v>
      </c>
      <c r="L11">
        <v>7.1800000000000003E-2</v>
      </c>
      <c r="M11">
        <v>6.7199999999999996E-2</v>
      </c>
      <c r="N11">
        <v>7.6207620762076198E-2</v>
      </c>
      <c r="O11">
        <v>7.2999999999999995E-2</v>
      </c>
      <c r="P11">
        <v>7.46E-2</v>
      </c>
      <c r="Q11">
        <f t="shared" si="0"/>
        <v>5.5555555555555552E-2</v>
      </c>
      <c r="R11">
        <v>0</v>
      </c>
      <c r="S11" s="3">
        <v>7.0885609783851E-2</v>
      </c>
    </row>
    <row r="12" spans="1:19">
      <c r="A12">
        <v>1414</v>
      </c>
      <c r="B12">
        <v>1789</v>
      </c>
      <c r="C12">
        <v>1600</v>
      </c>
      <c r="D12">
        <v>-15.4</v>
      </c>
      <c r="E12">
        <v>20.149999999999999</v>
      </c>
      <c r="F12">
        <v>8.8200000000000001E-2</v>
      </c>
      <c r="G12">
        <v>8.9300000000000004E-2</v>
      </c>
      <c r="H12">
        <v>9.0200000000000002E-2</v>
      </c>
      <c r="I12">
        <v>9.8699999999999996E-2</v>
      </c>
      <c r="J12">
        <v>9.6100000000000005E-2</v>
      </c>
      <c r="K12">
        <v>7.4700000000000003E-2</v>
      </c>
      <c r="L12">
        <v>0.1075</v>
      </c>
      <c r="M12">
        <v>7.4700000000000003E-2</v>
      </c>
      <c r="N12">
        <v>0.119311931193119</v>
      </c>
      <c r="O12">
        <v>9.8199999999999996E-2</v>
      </c>
      <c r="P12">
        <v>0.1087</v>
      </c>
      <c r="Q12">
        <f t="shared" si="0"/>
        <v>5.5555555555555552E-2</v>
      </c>
      <c r="R12">
        <v>0</v>
      </c>
      <c r="S12" s="3">
        <v>1.6045340835904899E-2</v>
      </c>
    </row>
    <row r="13" spans="1:19">
      <c r="A13">
        <v>1789</v>
      </c>
      <c r="B13">
        <v>2236</v>
      </c>
      <c r="C13">
        <v>2000</v>
      </c>
      <c r="D13">
        <v>-17.7</v>
      </c>
      <c r="E13">
        <v>17.32</v>
      </c>
      <c r="F13">
        <v>8.9800000000000005E-2</v>
      </c>
      <c r="G13">
        <v>0.1104</v>
      </c>
      <c r="H13">
        <v>9.3799999999999994E-2</v>
      </c>
      <c r="I13">
        <v>0.1171</v>
      </c>
      <c r="J13">
        <v>9.01E-2</v>
      </c>
      <c r="K13">
        <v>7.5499999999999998E-2</v>
      </c>
      <c r="L13">
        <v>9.2100000000000001E-2</v>
      </c>
      <c r="M13">
        <v>7.5499999999999998E-2</v>
      </c>
      <c r="N13">
        <v>9.1709170917091701E-2</v>
      </c>
      <c r="O13">
        <v>0.1308</v>
      </c>
      <c r="P13">
        <v>0.1113</v>
      </c>
      <c r="Q13">
        <f t="shared" si="0"/>
        <v>5.5555555555555552E-2</v>
      </c>
      <c r="R13">
        <v>0</v>
      </c>
      <c r="S13" s="3">
        <v>0</v>
      </c>
    </row>
    <row r="14" spans="1:19">
      <c r="A14">
        <v>2236</v>
      </c>
      <c r="B14">
        <v>2806</v>
      </c>
      <c r="C14">
        <v>2500</v>
      </c>
      <c r="D14">
        <v>-21.2</v>
      </c>
      <c r="E14">
        <v>13.18</v>
      </c>
      <c r="F14">
        <v>8.6800000000000002E-2</v>
      </c>
      <c r="G14">
        <v>0.112</v>
      </c>
      <c r="H14">
        <v>9.2799999999999994E-2</v>
      </c>
      <c r="I14">
        <v>9.3200000000000005E-2</v>
      </c>
      <c r="J14">
        <v>7.8100000000000003E-2</v>
      </c>
      <c r="K14">
        <v>8.2000000000000003E-2</v>
      </c>
      <c r="L14">
        <v>0.1026</v>
      </c>
      <c r="M14">
        <v>8.2000000000000003E-2</v>
      </c>
      <c r="N14">
        <v>9.9809980998099804E-2</v>
      </c>
      <c r="O14">
        <v>4.7699999999999999E-2</v>
      </c>
      <c r="P14">
        <v>7.3800000000000004E-2</v>
      </c>
      <c r="Q14">
        <f t="shared" si="0"/>
        <v>5.5555555555555552E-2</v>
      </c>
      <c r="R14">
        <v>0</v>
      </c>
      <c r="S14" s="3">
        <v>2.40917208075839E-2</v>
      </c>
    </row>
    <row r="15" spans="1:19">
      <c r="A15">
        <v>2806</v>
      </c>
      <c r="B15">
        <v>3550</v>
      </c>
      <c r="C15">
        <v>3150</v>
      </c>
      <c r="D15">
        <v>-24.2</v>
      </c>
      <c r="E15">
        <v>11.55</v>
      </c>
      <c r="F15">
        <v>8.4400000000000003E-2</v>
      </c>
      <c r="G15">
        <v>9.8100000000000007E-2</v>
      </c>
      <c r="H15">
        <v>6.7799999999999999E-2</v>
      </c>
      <c r="I15">
        <v>7.8299999999999995E-2</v>
      </c>
      <c r="J15">
        <v>6.9099999999999995E-2</v>
      </c>
      <c r="K15">
        <v>8.0799999999999997E-2</v>
      </c>
      <c r="L15">
        <v>9.2200000000000004E-2</v>
      </c>
      <c r="M15">
        <v>8.0799999999999997E-2</v>
      </c>
      <c r="N15">
        <v>5.2905290529052899E-2</v>
      </c>
      <c r="O15">
        <v>7.1800000000000003E-2</v>
      </c>
      <c r="P15">
        <v>6.2399999999999997E-2</v>
      </c>
      <c r="Q15">
        <f t="shared" si="0"/>
        <v>5.5555555555555552E-2</v>
      </c>
      <c r="R15">
        <v>0</v>
      </c>
      <c r="S15" s="3">
        <v>1.01306350560283E-3</v>
      </c>
    </row>
    <row r="16" spans="1:19">
      <c r="A16">
        <v>3550</v>
      </c>
      <c r="B16">
        <v>4472</v>
      </c>
      <c r="C16">
        <v>4000</v>
      </c>
      <c r="D16">
        <v>-25.9</v>
      </c>
      <c r="E16">
        <v>9.33</v>
      </c>
      <c r="F16">
        <v>7.7100000000000002E-2</v>
      </c>
      <c r="G16">
        <v>8.6699999999999999E-2</v>
      </c>
      <c r="H16">
        <v>4.9799999999999997E-2</v>
      </c>
      <c r="I16">
        <v>5.62E-2</v>
      </c>
      <c r="J16">
        <v>4.8000000000000001E-2</v>
      </c>
      <c r="K16">
        <v>4.8300000000000003E-2</v>
      </c>
      <c r="L16">
        <v>7.1900000000000006E-2</v>
      </c>
      <c r="M16">
        <v>4.8300000000000003E-2</v>
      </c>
      <c r="N16">
        <v>3.5403540354035402E-2</v>
      </c>
      <c r="O16">
        <v>2.53E-2</v>
      </c>
      <c r="P16">
        <v>3.0300000000000001E-2</v>
      </c>
      <c r="Q16">
        <f t="shared" si="0"/>
        <v>5.5555555555555552E-2</v>
      </c>
      <c r="R16">
        <v>0</v>
      </c>
      <c r="S16" s="3">
        <v>0</v>
      </c>
    </row>
    <row r="17" spans="1:19">
      <c r="A17">
        <v>4472</v>
      </c>
      <c r="B17">
        <v>5612</v>
      </c>
      <c r="C17">
        <v>5000</v>
      </c>
      <c r="D17">
        <v>-23.6</v>
      </c>
      <c r="E17">
        <v>5.31</v>
      </c>
      <c r="F17">
        <v>5.2699999999999997E-2</v>
      </c>
      <c r="G17">
        <v>7.2800000000000004E-2</v>
      </c>
      <c r="H17">
        <v>3.1199999999999999E-2</v>
      </c>
      <c r="I17">
        <v>3.3700000000000001E-2</v>
      </c>
      <c r="J17">
        <v>3.3000000000000002E-2</v>
      </c>
      <c r="K17">
        <v>4.53E-2</v>
      </c>
      <c r="L17">
        <v>4.6100000000000002E-2</v>
      </c>
      <c r="M17">
        <v>4.53E-2</v>
      </c>
      <c r="N17">
        <v>4.1304130413041297E-2</v>
      </c>
      <c r="O17">
        <v>2.8799999999999999E-2</v>
      </c>
      <c r="P17">
        <v>3.5099999999999999E-2</v>
      </c>
      <c r="Q17">
        <f t="shared" si="0"/>
        <v>5.5555555555555552E-2</v>
      </c>
      <c r="R17">
        <v>0</v>
      </c>
      <c r="S17" s="3">
        <v>1.8816737041417501E-2</v>
      </c>
    </row>
    <row r="18" spans="1:19">
      <c r="A18">
        <v>5612</v>
      </c>
      <c r="B18">
        <v>7099</v>
      </c>
      <c r="C18">
        <v>6300</v>
      </c>
      <c r="D18">
        <v>-15.8</v>
      </c>
      <c r="E18">
        <v>2.59</v>
      </c>
      <c r="F18">
        <v>3.6400000000000002E-2</v>
      </c>
      <c r="G18">
        <v>5.5100000000000003E-2</v>
      </c>
      <c r="H18">
        <v>2.1499999999999998E-2</v>
      </c>
      <c r="I18">
        <v>1.77E-2</v>
      </c>
      <c r="J18">
        <v>2.7E-2</v>
      </c>
      <c r="K18">
        <v>2.7400000000000001E-2</v>
      </c>
      <c r="L18">
        <v>3.0599999999999999E-2</v>
      </c>
      <c r="M18">
        <v>2.7400000000000001E-2</v>
      </c>
      <c r="N18">
        <v>2.2202220222022201E-2</v>
      </c>
      <c r="O18">
        <v>2.1399999999999999E-2</v>
      </c>
      <c r="P18">
        <v>2.18E-2</v>
      </c>
      <c r="Q18">
        <f t="shared" si="0"/>
        <v>5.5555555555555552E-2</v>
      </c>
      <c r="R18">
        <v>0</v>
      </c>
      <c r="S18" s="3">
        <v>0.11276409798206</v>
      </c>
    </row>
    <row r="19" spans="1:19">
      <c r="A19">
        <v>7099</v>
      </c>
      <c r="B19">
        <v>8980</v>
      </c>
      <c r="C19">
        <v>8000</v>
      </c>
      <c r="D19">
        <v>-7.1</v>
      </c>
      <c r="E19">
        <v>1.1299999999999999</v>
      </c>
      <c r="F19">
        <v>1.8499999999999999E-2</v>
      </c>
      <c r="G19">
        <v>0</v>
      </c>
      <c r="H19">
        <v>2.53E-2</v>
      </c>
      <c r="I19">
        <v>1.7600000000000001E-2</v>
      </c>
      <c r="J19">
        <v>2.4E-2</v>
      </c>
      <c r="K19">
        <v>1.4500000000000001E-2</v>
      </c>
      <c r="L19">
        <v>0</v>
      </c>
      <c r="M19">
        <v>1.4500000000000001E-2</v>
      </c>
      <c r="N19">
        <v>2.2302230223022301E-2</v>
      </c>
      <c r="O19">
        <v>3.9E-2</v>
      </c>
      <c r="P19">
        <v>3.0599999999999999E-2</v>
      </c>
      <c r="Q19">
        <f t="shared" si="0"/>
        <v>5.5555555555555552E-2</v>
      </c>
      <c r="R19">
        <v>1</v>
      </c>
      <c r="S19" s="3">
        <v>0.207741454701694</v>
      </c>
    </row>
    <row r="22" spans="1:19">
      <c r="H22" s="1"/>
    </row>
    <row r="23" spans="1:19">
      <c r="H23" s="1"/>
    </row>
    <row r="24" spans="1:19">
      <c r="H24" s="1"/>
    </row>
    <row r="25" spans="1:19">
      <c r="H25" s="1"/>
    </row>
    <row r="26" spans="1:19">
      <c r="H26" s="1"/>
    </row>
    <row r="27" spans="1:19">
      <c r="H27" s="1"/>
    </row>
    <row r="28" spans="1:19">
      <c r="H28" s="1"/>
    </row>
  </sheetData>
  <pageMargins left="0.7" right="0.7" top="0.78749999999999998" bottom="0.78749999999999998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zoomScaleNormal="100" workbookViewId="0">
      <selection activeCell="C20" sqref="C20"/>
    </sheetView>
  </sheetViews>
  <sheetFormatPr defaultColWidth="9.109375" defaultRowHeight="14.4"/>
  <cols>
    <col min="1" max="1" width="8.44140625" customWidth="1"/>
    <col min="2" max="2" width="15.6640625" customWidth="1"/>
    <col min="3" max="3" width="14.6640625" customWidth="1"/>
    <col min="4" max="4" width="15.44140625" customWidth="1"/>
    <col min="5" max="64" width="8.44140625" customWidth="1"/>
  </cols>
  <sheetData>
    <row r="1" spans="1:4">
      <c r="B1" t="s">
        <v>39</v>
      </c>
      <c r="C1" t="s">
        <v>40</v>
      </c>
      <c r="D1" t="s">
        <v>41</v>
      </c>
    </row>
    <row r="2" spans="1:4">
      <c r="A2" s="2">
        <v>250</v>
      </c>
      <c r="B2">
        <v>0.1036</v>
      </c>
      <c r="C2">
        <v>0.1116</v>
      </c>
      <c r="D2">
        <v>0.1699</v>
      </c>
    </row>
    <row r="3" spans="1:4">
      <c r="A3" s="2">
        <v>500</v>
      </c>
      <c r="B3">
        <v>0.22020000000000001</v>
      </c>
      <c r="C3">
        <v>0.29749999999999999</v>
      </c>
      <c r="D3">
        <v>0.217</v>
      </c>
    </row>
    <row r="4" spans="1:4">
      <c r="A4" s="2">
        <v>1000</v>
      </c>
      <c r="B4">
        <v>0.21879999999999999</v>
      </c>
      <c r="C4">
        <v>0.223</v>
      </c>
      <c r="D4">
        <v>0.18690000000000001</v>
      </c>
    </row>
    <row r="5" spans="1:4">
      <c r="A5" s="2">
        <v>2000</v>
      </c>
      <c r="B5">
        <v>0.26250000000000001</v>
      </c>
      <c r="C5">
        <v>0.20399999999999999</v>
      </c>
      <c r="D5">
        <v>0.19539999999999999</v>
      </c>
    </row>
    <row r="6" spans="1:4">
      <c r="A6" s="2">
        <v>4000</v>
      </c>
      <c r="B6">
        <v>0.13789999999999999</v>
      </c>
      <c r="C6">
        <v>9.8599999999999993E-2</v>
      </c>
      <c r="D6">
        <v>0.13900000000000001</v>
      </c>
    </row>
    <row r="7" spans="1:4">
      <c r="A7" s="2">
        <v>8000</v>
      </c>
      <c r="B7">
        <v>5.7000000000000002E-2</v>
      </c>
      <c r="C7">
        <v>6.5299999999999997E-2</v>
      </c>
      <c r="D7">
        <v>9.1800000000000007E-2</v>
      </c>
    </row>
  </sheetData>
  <pageMargins left="0.7" right="0.7" top="0.78749999999999998" bottom="0.78749999999999998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chen_2016</vt:lpstr>
      <vt:lpstr>ANSI</vt:lpstr>
      <vt:lpstr>Du 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awarz</dc:creator>
  <dc:description/>
  <cp:lastModifiedBy>Max Scharf</cp:lastModifiedBy>
  <cp:revision>8</cp:revision>
  <dcterms:created xsi:type="dcterms:W3CDTF">2015-06-05T18:17:20Z</dcterms:created>
  <dcterms:modified xsi:type="dcterms:W3CDTF">2026-03-03T08:10:32Z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